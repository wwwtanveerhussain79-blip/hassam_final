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Q1\Desktop\"/>
    </mc:Choice>
  </mc:AlternateContent>
  <bookViews>
    <workbookView xWindow="0" yWindow="0" windowWidth="21570" windowHeight="8055" activeTab="1"/>
  </bookViews>
  <sheets>
    <sheet name="Sheet1" sheetId="1" r:id="rId1"/>
    <sheet name="Sheet2" sheetId="2" r:id="rId2"/>
  </sheets>
  <calcPr calcId="162913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2" l="1"/>
  <c r="F16" i="2"/>
  <c r="F15" i="2"/>
  <c r="F14" i="2"/>
  <c r="F13" i="2"/>
  <c r="F12" i="2"/>
  <c r="F11" i="2"/>
  <c r="F10" i="2"/>
  <c r="F10" i="1" l="1"/>
  <c r="F12" i="1"/>
  <c r="F16" i="1"/>
  <c r="F15" i="1"/>
  <c r="F14" i="1"/>
  <c r="F13" i="1"/>
  <c r="F11" i="1"/>
  <c r="F9" i="1"/>
</calcChain>
</file>

<file path=xl/sharedStrings.xml><?xml version="1.0" encoding="utf-8"?>
<sst xmlns="http://schemas.openxmlformats.org/spreadsheetml/2006/main" count="38" uniqueCount="18">
  <si>
    <t>abdullah</t>
  </si>
  <si>
    <t>hadi</t>
  </si>
  <si>
    <t>ahad</t>
  </si>
  <si>
    <t>bilal</t>
  </si>
  <si>
    <t>Names</t>
  </si>
  <si>
    <t>ID</t>
  </si>
  <si>
    <t>Salary</t>
  </si>
  <si>
    <t>sum</t>
  </si>
  <si>
    <t>sum  if</t>
  </si>
  <si>
    <t>count</t>
  </si>
  <si>
    <t>count if</t>
  </si>
  <si>
    <t>average</t>
  </si>
  <si>
    <t>minimum</t>
  </si>
  <si>
    <t>maximum</t>
  </si>
  <si>
    <t>If</t>
  </si>
  <si>
    <t>(All)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</si>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</sst>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Q1" refreshedDate="46194.713036226851" createdVersion="6" refreshedVersion="6" minRefreshableVersion="3" recordCount="4">
  <cacheSource type="worksheet">
    <worksheetSource ref="C3:E7" sheet="Sheet1"/>
  </cacheSource>
  <cacheFields count="3">
    <cacheField name="Names" numFmtId="0">
      <sharedItems count="4">
        <s v="abdullah"/>
        <s v="hadi"/>
        <s v="ahad"/>
        <s v="bilal"/>
      </sharedItems>
    </cacheField>
    <cacheField name="ID" numFmtId="0">
      <sharedItems containsSemiMixedTypes="0" containsString="0" containsNumber="1" containsInteger="1" minValue="101" maxValue="104" count="4">
        <n v="101"/>
        <n v="102"/>
        <n v="103"/>
        <n v="104"/>
      </sharedItems>
    </cacheField>
    <cacheField name="Salary" numFmtId="0">
      <sharedItems containsSemiMixedTypes="0" containsString="0" containsNumber="1" containsInteger="1" minValue="40000" maxValue="50000" count="3">
        <n v="50000"/>
        <n v="40000"/>
        <n v="4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x v="0"/>
    <x v="0"/>
  </r>
  <r>
    <x v="1"/>
    <x v="1"/>
    <x v="1"/>
  </r>
  <r>
    <x v="2"/>
    <x v="2"/>
    <x v="2"/>
  </r>
  <r>
    <x v="3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5:H23" firstHeaderRow="1" firstDataRow="1" firstDataCol="1" rowPageCount="1" colPageCount="1"/>
  <pivotFields count="3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1"/>
        <item x="2"/>
        <item x="0"/>
        <item t="default"/>
      </items>
    </pivotField>
  </pivotFields>
  <rowFields count="2">
    <field x="2"/>
    <field x="1"/>
  </rowFields>
  <rowItems count="8">
    <i>
      <x/>
    </i>
    <i r="1">
      <x v="1"/>
    </i>
    <i>
      <x v="1"/>
    </i>
    <i r="1">
      <x v="2"/>
    </i>
    <i>
      <x v="2"/>
    </i>
    <i r="1">
      <x/>
    </i>
    <i r="1">
      <x v="3"/>
    </i>
    <i t="grand">
      <x/>
    </i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6:H24" firstHeaderRow="1" firstDataRow="1" firstDataCol="1" rowPageCount="1" colPageCount="1"/>
  <pivotFields count="3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1"/>
        <item x="2"/>
        <item x="0"/>
        <item t="default"/>
      </items>
    </pivotField>
  </pivotFields>
  <rowFields count="2">
    <field x="2"/>
    <field x="1"/>
  </rowFields>
  <rowItems count="8">
    <i>
      <x/>
    </i>
    <i r="1">
      <x v="1"/>
    </i>
    <i>
      <x v="1"/>
    </i>
    <i r="1">
      <x v="2"/>
    </i>
    <i>
      <x v="2"/>
    </i>
    <i r="1">
      <x/>
    </i>
    <i r="1">
      <x v="3"/>
    </i>
    <i t="grand">
      <x/>
    </i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23"/>
  <sheetViews>
    <sheetView zoomScale="140" zoomScaleNormal="140" workbookViewId="0">
      <selection activeCell="C3" sqref="C3:K23"/>
    </sheetView>
  </sheetViews>
  <sheetFormatPr defaultRowHeight="15" x14ac:dyDescent="0.25"/>
  <cols>
    <col min="8" max="8" width="13.140625" customWidth="1"/>
    <col min="9" max="9" width="7.140625" customWidth="1"/>
    <col min="10" max="12" width="4.28515625" customWidth="1"/>
    <col min="13" max="13" width="11.28515625" bestFit="1" customWidth="1"/>
  </cols>
  <sheetData>
    <row r="3" spans="3:9" x14ac:dyDescent="0.25">
      <c r="C3" s="1" t="s">
        <v>4</v>
      </c>
      <c r="D3" s="1" t="s">
        <v>5</v>
      </c>
      <c r="E3" s="1" t="s">
        <v>6</v>
      </c>
      <c r="F3" s="1"/>
    </row>
    <row r="4" spans="3:9" x14ac:dyDescent="0.25">
      <c r="C4" s="2" t="s">
        <v>0</v>
      </c>
      <c r="D4" s="2">
        <v>101</v>
      </c>
      <c r="E4" s="2">
        <v>50000</v>
      </c>
      <c r="F4" s="2"/>
    </row>
    <row r="5" spans="3:9" x14ac:dyDescent="0.25">
      <c r="C5" s="2" t="s">
        <v>1</v>
      </c>
      <c r="D5" s="2">
        <v>102</v>
      </c>
      <c r="E5" s="2">
        <v>40000</v>
      </c>
      <c r="F5" s="2"/>
    </row>
    <row r="6" spans="3:9" x14ac:dyDescent="0.25">
      <c r="C6" s="2" t="s">
        <v>2</v>
      </c>
      <c r="D6" s="2">
        <v>103</v>
      </c>
      <c r="E6" s="2">
        <v>45000</v>
      </c>
      <c r="F6" s="2"/>
    </row>
    <row r="7" spans="3:9" x14ac:dyDescent="0.25">
      <c r="C7" s="2" t="s">
        <v>3</v>
      </c>
      <c r="D7" s="2">
        <v>104</v>
      </c>
      <c r="E7" s="2">
        <v>50000</v>
      </c>
      <c r="F7" s="2"/>
    </row>
    <row r="9" spans="3:9" x14ac:dyDescent="0.25">
      <c r="E9" t="s">
        <v>7</v>
      </c>
      <c r="F9">
        <f>SUM(E4:E5,E6:E7)</f>
        <v>185000</v>
      </c>
    </row>
    <row r="10" spans="3:9" x14ac:dyDescent="0.25">
      <c r="E10" t="s">
        <v>8</v>
      </c>
      <c r="F10">
        <f>SUMIF(D4:D7,"102",E4:E7)</f>
        <v>40000</v>
      </c>
    </row>
    <row r="11" spans="3:9" x14ac:dyDescent="0.25">
      <c r="E11" t="s">
        <v>9</v>
      </c>
      <c r="F11">
        <f>COUNT(D4:D7,E4:E7)</f>
        <v>8</v>
      </c>
    </row>
    <row r="12" spans="3:9" x14ac:dyDescent="0.25">
      <c r="E12" t="s">
        <v>10</v>
      </c>
      <c r="F12">
        <f>COUNTIF(E4:E7,"40000")</f>
        <v>1</v>
      </c>
    </row>
    <row r="13" spans="3:9" x14ac:dyDescent="0.25">
      <c r="E13" t="s">
        <v>11</v>
      </c>
      <c r="F13">
        <f>AVERAGE(E4,E5)</f>
        <v>45000</v>
      </c>
      <c r="H13" s="3" t="s">
        <v>4</v>
      </c>
      <c r="I13" t="s">
        <v>15</v>
      </c>
    </row>
    <row r="14" spans="3:9" x14ac:dyDescent="0.25">
      <c r="E14" t="s">
        <v>12</v>
      </c>
      <c r="F14">
        <f>MIN(E4:E7)</f>
        <v>40000</v>
      </c>
    </row>
    <row r="15" spans="3:9" x14ac:dyDescent="0.25">
      <c r="E15" t="s">
        <v>13</v>
      </c>
      <c r="F15">
        <f>MAX(E4:E7)</f>
        <v>50000</v>
      </c>
      <c r="H15" s="3" t="s">
        <v>17</v>
      </c>
    </row>
    <row r="16" spans="3:9" x14ac:dyDescent="0.25">
      <c r="E16" t="s">
        <v>14</v>
      </c>
      <c r="F16" t="str">
        <f>IF(E5&gt;=40000,"not","fuel")</f>
        <v>not</v>
      </c>
      <c r="H16" s="4">
        <v>40000</v>
      </c>
    </row>
    <row r="17" spans="8:8" x14ac:dyDescent="0.25">
      <c r="H17" s="5">
        <v>102</v>
      </c>
    </row>
    <row r="18" spans="8:8" x14ac:dyDescent="0.25">
      <c r="H18" s="4">
        <v>45000</v>
      </c>
    </row>
    <row r="19" spans="8:8" x14ac:dyDescent="0.25">
      <c r="H19" s="5">
        <v>103</v>
      </c>
    </row>
    <row r="20" spans="8:8" x14ac:dyDescent="0.25">
      <c r="H20" s="4">
        <v>50000</v>
      </c>
    </row>
    <row r="21" spans="8:8" x14ac:dyDescent="0.25">
      <c r="H21" s="5">
        <v>101</v>
      </c>
    </row>
    <row r="22" spans="8:8" x14ac:dyDescent="0.25">
      <c r="H22" s="5">
        <v>104</v>
      </c>
    </row>
    <row r="23" spans="8:8" x14ac:dyDescent="0.25">
      <c r="H23" s="4" t="s">
        <v>16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24"/>
  <sheetViews>
    <sheetView tabSelected="1" workbookViewId="0">
      <selection activeCell="O13" sqref="O13"/>
    </sheetView>
  </sheetViews>
  <sheetFormatPr defaultRowHeight="15" x14ac:dyDescent="0.25"/>
  <sheetData>
    <row r="4" spans="3:9" x14ac:dyDescent="0.25">
      <c r="C4" s="1" t="s">
        <v>4</v>
      </c>
      <c r="D4" s="1" t="s">
        <v>5</v>
      </c>
      <c r="E4" s="1" t="s">
        <v>6</v>
      </c>
      <c r="F4" s="1"/>
    </row>
    <row r="5" spans="3:9" x14ac:dyDescent="0.25">
      <c r="C5" s="2" t="s">
        <v>0</v>
      </c>
      <c r="D5" s="2">
        <v>101</v>
      </c>
      <c r="E5" s="2">
        <v>50000</v>
      </c>
      <c r="F5" s="2"/>
    </row>
    <row r="6" spans="3:9" x14ac:dyDescent="0.25">
      <c r="C6" s="2" t="s">
        <v>1</v>
      </c>
      <c r="D6" s="2">
        <v>102</v>
      </c>
      <c r="E6" s="2">
        <v>40000</v>
      </c>
      <c r="F6" s="2"/>
    </row>
    <row r="7" spans="3:9" x14ac:dyDescent="0.25">
      <c r="C7" s="2" t="s">
        <v>2</v>
      </c>
      <c r="D7" s="2">
        <v>103</v>
      </c>
      <c r="E7" s="2">
        <v>45000</v>
      </c>
      <c r="F7" s="2"/>
    </row>
    <row r="8" spans="3:9" x14ac:dyDescent="0.25">
      <c r="C8" s="2" t="s">
        <v>3</v>
      </c>
      <c r="D8" s="2">
        <v>104</v>
      </c>
      <c r="E8" s="2">
        <v>50000</v>
      </c>
      <c r="F8" s="2"/>
    </row>
    <row r="10" spans="3:9" x14ac:dyDescent="0.25">
      <c r="E10" t="s">
        <v>7</v>
      </c>
      <c r="F10">
        <f>SUM(E5:E6,E7:E8)</f>
        <v>185000</v>
      </c>
    </row>
    <row r="11" spans="3:9" x14ac:dyDescent="0.25">
      <c r="E11" t="s">
        <v>8</v>
      </c>
      <c r="F11">
        <f>SUMIF(D5:D8,"102",E5:E8)</f>
        <v>40000</v>
      </c>
    </row>
    <row r="12" spans="3:9" x14ac:dyDescent="0.25">
      <c r="E12" t="s">
        <v>9</v>
      </c>
      <c r="F12">
        <f>COUNT(D5:D8,E5:E8)</f>
        <v>8</v>
      </c>
    </row>
    <row r="13" spans="3:9" x14ac:dyDescent="0.25">
      <c r="E13" t="s">
        <v>10</v>
      </c>
      <c r="F13">
        <f>COUNTIF(E5:E8,"40000")</f>
        <v>1</v>
      </c>
    </row>
    <row r="14" spans="3:9" x14ac:dyDescent="0.25">
      <c r="E14" t="s">
        <v>11</v>
      </c>
      <c r="F14">
        <f>AVERAGE(E5,E6)</f>
        <v>45000</v>
      </c>
      <c r="H14" s="3" t="s">
        <v>4</v>
      </c>
      <c r="I14" t="s">
        <v>15</v>
      </c>
    </row>
    <row r="15" spans="3:9" x14ac:dyDescent="0.25">
      <c r="E15" t="s">
        <v>12</v>
      </c>
      <c r="F15">
        <f>MIN(E5:E8)</f>
        <v>40000</v>
      </c>
    </row>
    <row r="16" spans="3:9" x14ac:dyDescent="0.25">
      <c r="E16" t="s">
        <v>13</v>
      </c>
      <c r="F16">
        <f>MAX(E5:E8)</f>
        <v>50000</v>
      </c>
      <c r="H16" s="3" t="s">
        <v>17</v>
      </c>
    </row>
    <row r="17" spans="5:8" x14ac:dyDescent="0.25">
      <c r="E17" t="s">
        <v>14</v>
      </c>
      <c r="F17" t="str">
        <f>IF(E6&gt;=40000,"not","fuel")</f>
        <v>not</v>
      </c>
      <c r="H17" s="4">
        <v>40000</v>
      </c>
    </row>
    <row r="18" spans="5:8" x14ac:dyDescent="0.25">
      <c r="H18" s="5">
        <v>102</v>
      </c>
    </row>
    <row r="19" spans="5:8" x14ac:dyDescent="0.25">
      <c r="H19" s="4">
        <v>45000</v>
      </c>
    </row>
    <row r="20" spans="5:8" x14ac:dyDescent="0.25">
      <c r="H20" s="5">
        <v>103</v>
      </c>
    </row>
    <row r="21" spans="5:8" x14ac:dyDescent="0.25">
      <c r="H21" s="4">
        <v>50000</v>
      </c>
    </row>
    <row r="22" spans="5:8" x14ac:dyDescent="0.25">
      <c r="H22" s="5">
        <v>101</v>
      </c>
    </row>
    <row r="23" spans="5:8" x14ac:dyDescent="0.25">
      <c r="H23" s="5">
        <v>104</v>
      </c>
    </row>
    <row r="24" spans="5:8" x14ac:dyDescent="0.25">
      <c r="H24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BQ1</dc:creator>
  <cp:lastModifiedBy>BQ1</cp:lastModifiedBy>
  <dcterms:created xsi:type="dcterms:W3CDTF">2026-06-21T11:27:47Z</dcterms:created>
  <dcterms:modified xsi:type="dcterms:W3CDTF">2026-06-21T12:12:36Z</dcterms:modified>
</cp:coreProperties>
</file>